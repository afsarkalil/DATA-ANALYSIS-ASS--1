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EFA4E29C-3CFF-534E-B944-DAB68DABACAE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G2" i="1" l="1"/>
  <c r="H2" i="1" a="1"/>
  <c r="H2" i="1" s="1"/>
  <c r="I2" i="1" a="1"/>
  <c r="I2" i="1" s="1"/>
  <c r="J2" i="1" a="1"/>
  <c r="J2" i="1" s="1"/>
  <c r="K21" i="1"/>
  <c r="K1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K11" i="1"/>
  <c r="K9" i="1"/>
  <c r="K7" i="1"/>
  <c r="K5" i="1"/>
  <c r="K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<sst xmlns="http://schemas.openxmlformats.org/spreadsheetml/2006/main" count="175" uniqueCount="126">
  <si>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</si>
  <si>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</si>
  <si>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</si>
  <si>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</si>
  <si>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</si>
  <si>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</si>
  <si>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</si>
  <si>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</si>
  <si>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</si>
  <si>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</si>
  <si>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</si>
  <si>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</si>
  <si>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</si>
  <si>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</si>
  <si>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</si>
  <si>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</si>
  <si>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</si>
  <si>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</si>
  <si>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</si>
  <si>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</si>
  <si>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</si>
  <si>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</si>
  <si>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</si>
  <si>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</si>
  <si>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</si>
  <si>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</si>
  <si>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</si>
  <si>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</si>
  <si>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</si>
  <si>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</si>
  <si>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</si>
  <si>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</si>
  <si>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</si>
  <si>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</si>
  <si>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</si>
  <si>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</si>
  <si>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</si>
  <si>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</si>
  <si>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</si>
  <si>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</si>
  <si>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</si>
  <si>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</si>
  <si>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</si>
  <si>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</si>
  <si>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</si>
  <si>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</si>
  <si>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</si>
  <si>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</si>
  <si>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</si>
  <si>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</si>
  <si>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</si>
  <si>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</si>
  <si>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</si>
  <si>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</si>
  <si>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</si>
  <si>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</si>
  <si>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</si>
  <si>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</si>
  <si>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</si>
  <si>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</si>
  <si>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</si>
  <si>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</si>
  <si>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</si>
  <si>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</si>
  <si>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</si>
  <si>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</si>
  <si>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</si>
  <si>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</si>
  <si>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</si>
  <si>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</si>
  <si>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</si>
  <si>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</si>
  <si>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</si>
  <si>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</si>
  <si>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</si>
  <si>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</si>
  <si>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</si>
  <si>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</si>
  <si>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</si>
  <si>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</si>
  <si>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</si>
  <si>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</si>
  <si>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</si>
  <si>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</si>
  <si>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</si>
  <si>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</si>
  <si>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</si>
  <si>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</si>
  <si>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</si>
  <si>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</si>
  <si>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</si>
  <si>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</si>
  <si>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</si>
  <si>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dataset.</t>
  </si>
  <si>
    <t>Determine how many products exist in the dataset.</t>
  </si>
  <si>
    <t>SUM(D:D)</t>
  </si>
  <si>
    <t>COUNTA(b2:b35)</t>
  </si>
  <si>
    <t>Calculate the average price of the products.</t>
  </si>
  <si>
    <t>AVERAGE(D:D)</t>
  </si>
  <si>
    <t>Identify the minimum price among all products.</t>
  </si>
  <si>
    <t>MIN(D:D)</t>
  </si>
  <si>
    <t>Identify the maximum price among all products.</t>
  </si>
  <si>
    <t>MAX(D:D)</t>
  </si>
  <si>
    <t>Use the IF function to categorize products based on their price:</t>
  </si>
  <si>
    <t>○ If Price ≥ $500 → classify as High Price</t>
  </si>
  <si>
    <t>○ If Price &lt; $500 → classify as Standard Price</t>
  </si>
  <si>
    <t>IF(D2&gt;500,"HIGH PRICE","STANDARD PRICE")</t>
  </si>
  <si>
    <t>Use the SUMIF function to calculate the total price of products in the</t>
  </si>
  <si>
    <t>Electronics category.</t>
  </si>
  <si>
    <t>SUMIF(F2:F35,"ELECTRONICS",D2:D35)</t>
  </si>
  <si>
    <t>price range</t>
  </si>
  <si>
    <t>Use the COUNTIF function to determine the number of products with a price</t>
  </si>
  <si>
    <t>less than $100.</t>
  </si>
  <si>
    <t>COUNTIF(D2:D35,"&lt;100")</t>
  </si>
  <si>
    <t>Create a new column named Day with the first 2 characters of each</t>
  </si>
  <si>
    <t>'Product ID' using the LEFT function.</t>
  </si>
  <si>
    <t>DAY</t>
  </si>
  <si>
    <t>Create a new column named Country Code by extracting the last 2</t>
  </si>
  <si>
    <t>characters from the 'Product ID' column using the RIGHT function.</t>
  </si>
  <si>
    <t>LEFT(A2:A35,2)</t>
  </si>
  <si>
    <t>COUNTRY CODE</t>
  </si>
  <si>
    <t>MONTH</t>
  </si>
  <si>
    <t>RIGHT(A2:A35,2)</t>
  </si>
  <si>
    <t>Create a new column named Month by extracting the 4th to 6th</t>
  </si>
  <si>
    <t>characters from the 'Product ID' column using the MID function.</t>
  </si>
  <si>
    <t>MID(A2:A35,4,3)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</si>
</sst>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5"/>
      <name val="Arial (Body)"/>
    </font>
    <font>
      <b/>
      <sz val="10"/>
      <color theme="5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theme="9" tint="0.39997558519241921"/>
      <name val="Arial (Body)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1" fillId="5" borderId="0" xfId="0" applyFont="1" applyFill="1" applyAlignment="1">
      <alignment horizontal="center"/>
    </xf>
    <xf numFmtId="0" fontId="3" fillId="0" borderId="0" xfId="0" applyFont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zoomScale="132" workbookViewId="0">
      <selection activeCell="N34" sqref="N34"/>
    </sheetView>
  </sheetViews>
  <sheetFormatPr baseColWidth="10" defaultColWidth="12.6640625" defaultRowHeight="15" customHeight="1" x14ac:dyDescent="0.15"/>
  <cols>
    <col min="2" max="2" width="14.1640625" customWidth="1"/>
    <col min="7" max="7" width="16.5" customWidth="1"/>
    <col min="9" max="9" width="14.83203125" customWidth="1"/>
    <col min="13" max="13" width="14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110</v>
      </c>
      <c r="H1" s="1" t="s">
        <v>116</v>
      </c>
      <c r="I1" s="1" t="s">
        <v>120</v>
      </c>
      <c r="J1" s="1" t="s">
        <v>121</v>
      </c>
    </row>
    <row r="2" spans="1:15" ht="15.75" customHeight="1" x14ac:dyDescent="0.1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9" t="str">
        <f>IF(D2&gt;500,"HIGH PRICE","STANDARD PRICE")</f>
        <v>HIGH PRICE</v>
      </c>
      <c r="H2" s="10" t="str" cm="1">
        <f t="array" ref="H2:H35">LEFT(A2:A35,2)</f>
        <v>28</v>
      </c>
      <c r="I2" s="10" t="str" cm="1">
        <f t="array" ref="I2:I35">RIGHT(A2:A35,2)</f>
        <v>US</v>
      </c>
      <c r="J2" s="10" t="str" cm="1">
        <f t="array" ref="J2:J35">MID(A2:A35,4,3)</f>
        <v>JAN</v>
      </c>
      <c r="K2" s="5" t="s">
        <v>93</v>
      </c>
      <c r="L2" s="5"/>
      <c r="M2" s="5"/>
      <c r="N2" s="5"/>
      <c r="O2" s="5"/>
    </row>
    <row r="3" spans="1:15" ht="15.75" customHeight="1" x14ac:dyDescent="0.1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9" t="str">
        <f>IF(D3&gt;500,"HIGH PRICE","STANDARD PRICE")</f>
        <v>STANDARD PRICE</v>
      </c>
      <c r="H3" s="10" t="str">
        <v>15</v>
      </c>
      <c r="I3" s="10" t="str">
        <v>US</v>
      </c>
      <c r="J3" s="10" t="str">
        <v>FEB</v>
      </c>
      <c r="K3" s="5">
        <f>SUM(D:D)</f>
        <v>10100</v>
      </c>
      <c r="L3" s="5"/>
      <c r="M3" s="6" t="s">
        <v>95</v>
      </c>
      <c r="N3" s="5"/>
      <c r="O3" s="5"/>
    </row>
    <row r="4" spans="1:15" ht="15.75" customHeight="1" x14ac:dyDescent="0.1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9" t="str">
        <f>IF(D4&gt;500,"HIGH PRICE","STANDARD PRICE")</f>
        <v>STANDARD PRICE</v>
      </c>
      <c r="H4" s="10" t="str">
        <v>03</v>
      </c>
      <c r="I4" s="10" t="str">
        <v>US</v>
      </c>
      <c r="J4" s="10" t="str">
        <v>MAR</v>
      </c>
      <c r="K4" s="5" t="s">
        <v>94</v>
      </c>
      <c r="L4" s="5"/>
      <c r="M4" s="5"/>
      <c r="N4" s="5"/>
      <c r="O4" s="5"/>
    </row>
    <row r="5" spans="1:15" ht="15.75" customHeight="1" x14ac:dyDescent="0.1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9" t="str">
        <f>IF(D5&gt;500,"HIGH PRICE","STANDARD PRICE")</f>
        <v>HIGH PRICE</v>
      </c>
      <c r="H5" s="10" t="str">
        <v>11</v>
      </c>
      <c r="I5" s="10" t="str">
        <v>US</v>
      </c>
      <c r="J5" s="10" t="str">
        <v>APR</v>
      </c>
      <c r="K5" s="5">
        <f>COUNTA(B2:B35)</f>
        <v>34</v>
      </c>
      <c r="L5" s="5"/>
      <c r="M5" s="7" t="s">
        <v>96</v>
      </c>
      <c r="N5" s="5"/>
      <c r="O5" s="5"/>
    </row>
    <row r="6" spans="1:15" ht="15.75" customHeight="1" x14ac:dyDescent="0.1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9" t="str">
        <f>IF(D6&gt;500,"HIGH PRICE","STANDARD PRICE")</f>
        <v>STANDARD PRICE</v>
      </c>
      <c r="H6" s="10" t="str">
        <v>22</v>
      </c>
      <c r="I6" s="10" t="str">
        <v>US</v>
      </c>
      <c r="J6" s="10" t="str">
        <v>MAY</v>
      </c>
      <c r="K6" s="5" t="s">
        <v>97</v>
      </c>
      <c r="L6" s="5"/>
      <c r="M6" s="5"/>
      <c r="N6" s="5"/>
      <c r="O6" s="5"/>
    </row>
    <row r="7" spans="1:15" ht="15.75" customHeight="1" x14ac:dyDescent="0.1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9" t="str">
        <f>IF(D7&gt;500,"HIGH PRICE","STANDARD PRICE")</f>
        <v>STANDARD PRICE</v>
      </c>
      <c r="H7" s="10" t="str">
        <v>07</v>
      </c>
      <c r="I7" s="10" t="str">
        <v>UK</v>
      </c>
      <c r="J7" s="10" t="str">
        <v>JUN</v>
      </c>
      <c r="K7" s="5">
        <f>AVERAGE(D:D)</f>
        <v>297.05882352941177</v>
      </c>
      <c r="L7" s="5"/>
      <c r="M7" s="7" t="s">
        <v>98</v>
      </c>
      <c r="N7" s="5"/>
      <c r="O7" s="5"/>
    </row>
    <row r="8" spans="1:15" ht="15.75" customHeight="1" x14ac:dyDescent="0.1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9" t="str">
        <f>IF(D8&gt;500,"HIGH PRICE","STANDARD PRICE")</f>
        <v>STANDARD PRICE</v>
      </c>
      <c r="H8" s="10" t="str">
        <v>19</v>
      </c>
      <c r="I8" s="10" t="str">
        <v>UK</v>
      </c>
      <c r="J8" s="10" t="str">
        <v>JUL</v>
      </c>
      <c r="K8" s="5" t="s">
        <v>99</v>
      </c>
      <c r="L8" s="5"/>
      <c r="M8" s="5"/>
      <c r="N8" s="5"/>
      <c r="O8" s="5"/>
    </row>
    <row r="9" spans="1:15" ht="15.75" customHeight="1" x14ac:dyDescent="0.1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9" t="str">
        <f>IF(D9&gt;500,"HIGH PRICE","STANDARD PRICE")</f>
        <v>STANDARD PRICE</v>
      </c>
      <c r="H9" s="10" t="str">
        <v>23</v>
      </c>
      <c r="I9" s="10" t="str">
        <v>UK</v>
      </c>
      <c r="J9" s="10" t="str">
        <v>AUG</v>
      </c>
      <c r="K9" s="5">
        <f>MIN(D:D)</f>
        <v>30</v>
      </c>
      <c r="L9" s="5"/>
      <c r="M9" s="7" t="s">
        <v>100</v>
      </c>
      <c r="N9" s="5"/>
      <c r="O9" s="5"/>
    </row>
    <row r="10" spans="1:15" ht="15.75" customHeight="1" x14ac:dyDescent="0.1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9" t="str">
        <f>IF(D10&gt;500,"HIGH PRICE","STANDARD PRICE")</f>
        <v>STANDARD PRICE</v>
      </c>
      <c r="H10" s="10" t="str">
        <v>05</v>
      </c>
      <c r="I10" s="10" t="str">
        <v>UK</v>
      </c>
      <c r="J10" s="10" t="str">
        <v>SEP</v>
      </c>
      <c r="K10" s="5" t="s">
        <v>101</v>
      </c>
      <c r="L10" s="5"/>
      <c r="M10" s="5"/>
      <c r="N10" s="5"/>
      <c r="O10" s="5"/>
    </row>
    <row r="11" spans="1:15" ht="15.75" customHeight="1" x14ac:dyDescent="0.1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9" t="str">
        <f>IF(D11&gt;500,"HIGH PRICE","STANDARD PRICE")</f>
        <v>STANDARD PRICE</v>
      </c>
      <c r="H11" s="10" t="str">
        <v>14</v>
      </c>
      <c r="I11" s="10" t="str">
        <v>UK</v>
      </c>
      <c r="J11" s="10" t="str">
        <v>OCT</v>
      </c>
      <c r="K11" s="5">
        <f>MAX(D:D)</f>
        <v>1000</v>
      </c>
      <c r="L11" s="5"/>
      <c r="M11" s="7" t="s">
        <v>102</v>
      </c>
      <c r="N11" s="5"/>
      <c r="O11" s="5"/>
    </row>
    <row r="12" spans="1:15" ht="15.75" customHeight="1" x14ac:dyDescent="0.1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9" t="str">
        <f>IF(D12&gt;500,"HIGH PRICE","STANDARD PRICE")</f>
        <v>HIGH PRICE</v>
      </c>
      <c r="H12" s="10" t="str">
        <v>17</v>
      </c>
      <c r="I12" s="10" t="str">
        <v>IN</v>
      </c>
      <c r="J12" s="10" t="str">
        <v>JUN</v>
      </c>
      <c r="K12" s="5" t="s">
        <v>103</v>
      </c>
      <c r="L12" s="5"/>
      <c r="M12" s="5"/>
      <c r="N12" s="5"/>
      <c r="O12" s="5"/>
    </row>
    <row r="13" spans="1:15" ht="15.75" customHeight="1" x14ac:dyDescent="0.1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9" t="str">
        <f>IF(D13&gt;500,"HIGH PRICE","STANDARD PRICE")</f>
        <v>STANDARD PRICE</v>
      </c>
      <c r="H13" s="10" t="str">
        <v>25</v>
      </c>
      <c r="I13" s="10" t="str">
        <v>AU</v>
      </c>
      <c r="J13" s="10" t="str">
        <v>NOV</v>
      </c>
      <c r="K13" s="5" t="s">
        <v>104</v>
      </c>
      <c r="L13" s="5"/>
      <c r="M13" s="5"/>
      <c r="N13" s="5"/>
      <c r="O13" s="5"/>
    </row>
    <row r="14" spans="1:15" ht="15.75" customHeight="1" x14ac:dyDescent="0.1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9" t="str">
        <f>IF(D14&gt;500,"HIGH PRICE","STANDARD PRICE")</f>
        <v>STANDARD PRICE</v>
      </c>
      <c r="H14" s="10" t="str">
        <v>08</v>
      </c>
      <c r="I14" s="10" t="str">
        <v>DE</v>
      </c>
      <c r="J14" s="10" t="str">
        <v>DEC</v>
      </c>
      <c r="K14" s="5" t="s">
        <v>105</v>
      </c>
      <c r="L14" s="5"/>
      <c r="M14" s="5"/>
      <c r="N14" s="5"/>
      <c r="O14" s="5"/>
    </row>
    <row r="15" spans="1:15" ht="15.75" customHeight="1" x14ac:dyDescent="0.1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9" t="str">
        <f>IF(D15&gt;500,"HIGH PRICE","STANDARD PRICE")</f>
        <v>STANDARD PRICE</v>
      </c>
      <c r="H15" s="10" t="str">
        <v>18</v>
      </c>
      <c r="I15" s="10" t="str">
        <v>CA</v>
      </c>
      <c r="J15" s="10" t="str">
        <v>FEB</v>
      </c>
      <c r="K15" s="7" t="s">
        <v>106</v>
      </c>
      <c r="L15" s="7"/>
      <c r="M15" s="5"/>
      <c r="N15" s="5"/>
      <c r="O15" s="5"/>
    </row>
    <row r="16" spans="1:15" ht="15.75" customHeight="1" x14ac:dyDescent="0.1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9" t="str">
        <f>IF(D16&gt;500,"HIGH PRICE","STANDARD PRICE")</f>
        <v>STANDARD PRICE</v>
      </c>
      <c r="H16" s="10" t="str">
        <v>16</v>
      </c>
      <c r="I16" s="10" t="str">
        <v>ES</v>
      </c>
      <c r="J16" s="10" t="str">
        <v>APR</v>
      </c>
      <c r="K16" s="5" t="s">
        <v>107</v>
      </c>
      <c r="L16" s="5"/>
      <c r="M16" s="5"/>
      <c r="N16" s="5"/>
      <c r="O16" s="5"/>
    </row>
    <row r="17" spans="1:15" ht="15.75" customHeight="1" x14ac:dyDescent="0.1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9" t="str">
        <f>IF(D17&gt;500,"HIGH PRICE","STANDARD PRICE")</f>
        <v>STANDARD PRICE</v>
      </c>
      <c r="H17" s="10" t="str">
        <v>21</v>
      </c>
      <c r="I17" s="10" t="str">
        <v>CA</v>
      </c>
      <c r="J17" s="10" t="str">
        <v>AUG</v>
      </c>
      <c r="K17" s="5" t="s">
        <v>108</v>
      </c>
      <c r="L17" s="5"/>
      <c r="M17" s="5"/>
      <c r="N17" s="5"/>
      <c r="O17" s="5"/>
    </row>
    <row r="18" spans="1:15" ht="15.75" customHeight="1" x14ac:dyDescent="0.1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9" t="str">
        <f>IF(D18&gt;500,"HIGH PRICE","STANDARD PRICE")</f>
        <v>STANDARD PRICE</v>
      </c>
      <c r="H18" s="10" t="str">
        <v>20</v>
      </c>
      <c r="I18" s="10" t="str">
        <v>CN</v>
      </c>
      <c r="J18" s="10" t="str">
        <v>AUG</v>
      </c>
      <c r="K18" s="5">
        <f>SUMIF(F2:F35,"electronics",D2:D35)</f>
        <v>8050</v>
      </c>
      <c r="L18" s="5"/>
      <c r="M18" s="7" t="s">
        <v>109</v>
      </c>
      <c r="N18" s="7"/>
      <c r="O18" s="7"/>
    </row>
    <row r="19" spans="1:15" ht="15.75" customHeight="1" x14ac:dyDescent="0.1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9" t="str">
        <f>IF(D19&gt;500,"HIGH PRICE","STANDARD PRICE")</f>
        <v>HIGH PRICE</v>
      </c>
      <c r="H19" s="10" t="str">
        <v>27</v>
      </c>
      <c r="I19" s="10" t="str">
        <v>IT</v>
      </c>
      <c r="J19" s="10" t="str">
        <v>JAN</v>
      </c>
      <c r="K19" s="5" t="s">
        <v>111</v>
      </c>
      <c r="L19" s="5"/>
      <c r="M19" s="5"/>
      <c r="N19" s="5"/>
      <c r="O19" s="5"/>
    </row>
    <row r="20" spans="1:15" ht="15.75" customHeight="1" x14ac:dyDescent="0.1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9" t="str">
        <f>IF(D20&gt;500,"HIGH PRICE","STANDARD PRICE")</f>
        <v>STANDARD PRICE</v>
      </c>
      <c r="H20" s="10" t="str">
        <v>01</v>
      </c>
      <c r="I20" s="10" t="str">
        <v>UK</v>
      </c>
      <c r="J20" s="10" t="str">
        <v>MAR</v>
      </c>
      <c r="K20" s="5" t="s">
        <v>112</v>
      </c>
      <c r="L20" s="5"/>
      <c r="M20" s="5"/>
      <c r="N20" s="5"/>
      <c r="O20" s="5"/>
    </row>
    <row r="21" spans="1:15" ht="15.75" customHeight="1" x14ac:dyDescent="0.1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9" t="str">
        <f>IF(D21&gt;500,"HIGH PRICE","STANDARD PRICE")</f>
        <v>STANDARD PRICE</v>
      </c>
      <c r="H21" s="10" t="str">
        <v>14</v>
      </c>
      <c r="I21" s="10" t="str">
        <v>US</v>
      </c>
      <c r="J21" s="10" t="str">
        <v>AUG</v>
      </c>
      <c r="K21" s="5">
        <f>COUNTIF(D2:D35,"&lt;100")</f>
        <v>11</v>
      </c>
      <c r="L21" s="5"/>
      <c r="M21" s="8" t="s">
        <v>113</v>
      </c>
      <c r="N21" s="8"/>
      <c r="O21" s="5"/>
    </row>
    <row r="22" spans="1:15" ht="15.75" customHeight="1" x14ac:dyDescent="0.1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9" t="str">
        <f>IF(D22&gt;500,"HIGH PRICE","STANDARD PRICE")</f>
        <v>HIGH PRICE</v>
      </c>
      <c r="H22" s="10" t="str">
        <v>14</v>
      </c>
      <c r="I22" s="10" t="str">
        <v>RU</v>
      </c>
      <c r="J22" s="10" t="str">
        <v>MAY</v>
      </c>
      <c r="K22" s="5" t="s">
        <v>114</v>
      </c>
      <c r="L22" s="5"/>
      <c r="M22" s="8"/>
      <c r="N22" s="8"/>
      <c r="O22" s="5"/>
    </row>
    <row r="23" spans="1:15" ht="15.75" customHeight="1" x14ac:dyDescent="0.1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9" t="str">
        <f>IF(D23&gt;500,"HIGH PRICE","STANDARD PRICE")</f>
        <v>STANDARD PRICE</v>
      </c>
      <c r="H23" s="10" t="str">
        <v>09</v>
      </c>
      <c r="I23" s="10" t="str">
        <v>CA</v>
      </c>
      <c r="J23" s="10" t="str">
        <v>JAN</v>
      </c>
      <c r="K23" s="5" t="s">
        <v>115</v>
      </c>
      <c r="L23" s="5"/>
      <c r="M23" s="5"/>
      <c r="N23" s="5"/>
      <c r="O23" s="5"/>
    </row>
    <row r="24" spans="1:15" ht="15.75" customHeight="1" x14ac:dyDescent="0.1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9" t="str">
        <f>IF(D24&gt;500,"HIGH PRICE","STANDARD PRICE")</f>
        <v>STANDARD PRICE</v>
      </c>
      <c r="H24" s="10" t="str">
        <v>19</v>
      </c>
      <c r="I24" s="10" t="str">
        <v>BR</v>
      </c>
      <c r="J24" s="10" t="str">
        <v>JUL</v>
      </c>
      <c r="K24" s="8" t="s">
        <v>119</v>
      </c>
      <c r="L24" s="5"/>
      <c r="M24" s="5"/>
      <c r="N24" s="5"/>
      <c r="O24" s="5"/>
    </row>
    <row r="25" spans="1:15" ht="15.75" customHeight="1" x14ac:dyDescent="0.1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9" t="str">
        <f>IF(D25&gt;500,"HIGH PRICE","STANDARD PRICE")</f>
        <v>STANDARD PRICE</v>
      </c>
      <c r="H25" s="10" t="str">
        <v>21</v>
      </c>
      <c r="I25" s="10" t="str">
        <v>CA</v>
      </c>
      <c r="J25" s="10" t="str">
        <v>AUG</v>
      </c>
      <c r="K25" s="5" t="s">
        <v>117</v>
      </c>
      <c r="L25" s="5"/>
      <c r="M25" s="5"/>
      <c r="N25" s="5"/>
      <c r="O25" s="5"/>
    </row>
    <row r="26" spans="1:15" ht="15.75" customHeight="1" x14ac:dyDescent="0.1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9" t="str">
        <f>IF(D26&gt;500,"HIGH PRICE","STANDARD PRICE")</f>
        <v>HIGH PRICE</v>
      </c>
      <c r="H26" s="10" t="str">
        <v>29</v>
      </c>
      <c r="I26" s="10" t="str">
        <v>CA</v>
      </c>
      <c r="J26" s="10" t="str">
        <v>SEP</v>
      </c>
      <c r="K26" s="5" t="s">
        <v>118</v>
      </c>
      <c r="L26" s="5"/>
      <c r="M26" s="5"/>
      <c r="N26" s="5"/>
      <c r="O26" s="5"/>
    </row>
    <row r="27" spans="1:15" ht="15.75" customHeight="1" x14ac:dyDescent="0.1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9" t="str">
        <f>IF(D27&gt;500,"HIGH PRICE","STANDARD PRICE")</f>
        <v>STANDARD PRICE</v>
      </c>
      <c r="H27" s="10" t="str">
        <v>03</v>
      </c>
      <c r="I27" s="10" t="str">
        <v>CA</v>
      </c>
      <c r="J27" s="10" t="str">
        <v>JUN</v>
      </c>
      <c r="K27" s="8" t="s">
        <v>122</v>
      </c>
      <c r="L27" s="5"/>
      <c r="M27" s="5"/>
      <c r="N27" s="5"/>
      <c r="O27" s="5"/>
    </row>
    <row r="28" spans="1:15" ht="15.75" customHeight="1" x14ac:dyDescent="0.1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9" t="str">
        <f>IF(D28&gt;500,"HIGH PRICE","STANDARD PRICE")</f>
        <v>STANDARD PRICE</v>
      </c>
      <c r="H28" s="10" t="str">
        <v>11</v>
      </c>
      <c r="I28" s="10" t="str">
        <v>CA</v>
      </c>
      <c r="J28" s="10" t="str">
        <v>JUL</v>
      </c>
      <c r="K28" s="5" t="s">
        <v>123</v>
      </c>
      <c r="L28" s="5"/>
      <c r="M28" s="5"/>
      <c r="N28" s="5"/>
      <c r="O28" s="5"/>
    </row>
    <row r="29" spans="1:15" ht="15.75" customHeight="1" x14ac:dyDescent="0.1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9" t="str">
        <f>IF(D29&gt;500,"HIGH PRICE","STANDARD PRICE")</f>
        <v>STANDARD PRICE</v>
      </c>
      <c r="H29" s="10" t="str">
        <v>16</v>
      </c>
      <c r="I29" s="10" t="str">
        <v>ES</v>
      </c>
      <c r="J29" s="10" t="str">
        <v>APR</v>
      </c>
      <c r="K29" s="5" t="s">
        <v>124</v>
      </c>
      <c r="L29" s="5"/>
      <c r="M29" s="5"/>
      <c r="N29" s="5"/>
      <c r="O29" s="5"/>
    </row>
    <row r="30" spans="1:15" ht="15.75" customHeight="1" x14ac:dyDescent="0.1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9" t="str">
        <f>IF(D30&gt;500,"HIGH PRICE","STANDARD PRICE")</f>
        <v>STANDARD PRICE</v>
      </c>
      <c r="H30" s="10" t="str">
        <v>07</v>
      </c>
      <c r="I30" s="10" t="str">
        <v>CA</v>
      </c>
      <c r="J30" s="10" t="str">
        <v>MAR</v>
      </c>
      <c r="K30" s="7" t="s">
        <v>125</v>
      </c>
    </row>
    <row r="31" spans="1:15" ht="15.75" customHeight="1" x14ac:dyDescent="0.1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9" t="str">
        <f>IF(D31&gt;500,"HIGH PRICE","STANDARD PRICE")</f>
        <v>STANDARD PRICE</v>
      </c>
      <c r="H31" s="10" t="str">
        <v>13</v>
      </c>
      <c r="I31" s="10" t="str">
        <v>CA</v>
      </c>
      <c r="J31" s="10" t="str">
        <v>APR</v>
      </c>
    </row>
    <row r="32" spans="1:15" ht="15.75" customHeight="1" x14ac:dyDescent="0.1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9" t="str">
        <f>IF(D32&gt;500,"HIGH PRICE","STANDARD PRICE")</f>
        <v>STANDARD PRICE</v>
      </c>
      <c r="H32" s="10" t="str">
        <v>24</v>
      </c>
      <c r="I32" s="10" t="str">
        <v>CA</v>
      </c>
      <c r="J32" s="10" t="str">
        <v>MAY</v>
      </c>
    </row>
    <row r="33" spans="1:10" ht="15.75" customHeight="1" x14ac:dyDescent="0.1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9" t="str">
        <f>IF(D33&gt;500,"HIGH PRICE","STANDARD PRICE")</f>
        <v>STANDARD PRICE</v>
      </c>
      <c r="H33" s="10" t="str">
        <v>02</v>
      </c>
      <c r="I33" s="10" t="str">
        <v>CA</v>
      </c>
      <c r="J33" s="10" t="str">
        <v>DEC</v>
      </c>
    </row>
    <row r="34" spans="1:10" ht="15.75" customHeight="1" x14ac:dyDescent="0.1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9" t="str">
        <f>IF(D34&gt;500,"HIGH PRICE","STANDARD PRICE")</f>
        <v>HIGH PRICE</v>
      </c>
      <c r="H34" s="10" t="str">
        <v>17</v>
      </c>
      <c r="I34" s="10" t="str">
        <v>IN</v>
      </c>
      <c r="J34" s="10" t="str">
        <v>JUN</v>
      </c>
    </row>
    <row r="35" spans="1:10" ht="15.75" customHeight="1" x14ac:dyDescent="0.1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9" t="str">
        <f>IF(D35&gt;500,"HIGH PRICE","STANDARD PRICE")</f>
        <v>STANDARD PRICE</v>
      </c>
      <c r="H35" s="10" t="str">
        <v>09</v>
      </c>
      <c r="I35" s="10" t="str">
        <v>FR</v>
      </c>
      <c r="J35" s="10" t="str">
        <v>JUL</v>
      </c>
    </row>
    <row r="36" spans="1:10" ht="15.75" customHeight="1" x14ac:dyDescent="0.15"/>
    <row r="37" spans="1:10" ht="15.75" customHeight="1" x14ac:dyDescent="0.15"/>
    <row r="38" spans="1:10" ht="15.75" customHeight="1" x14ac:dyDescent="0.15"/>
    <row r="39" spans="1:10" ht="15.75" customHeight="1" x14ac:dyDescent="0.15"/>
    <row r="40" spans="1:10" ht="15.75" customHeight="1" x14ac:dyDescent="0.15"/>
    <row r="41" spans="1:10" ht="15.75" customHeight="1" x14ac:dyDescent="0.15"/>
    <row r="42" spans="1:10" ht="15.75" customHeight="1" x14ac:dyDescent="0.15"/>
    <row r="43" spans="1:10" ht="15.75" customHeight="1" x14ac:dyDescent="0.15"/>
    <row r="44" spans="1:10" ht="15.75" customHeight="1" x14ac:dyDescent="0.15"/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S0701294</cp:lastModifiedBy>
  <dcterms:modified xsi:type="dcterms:W3CDTF">2026-09-18T15:42:38Z</dcterms:modified>
</cp:coreProperties>
</file>